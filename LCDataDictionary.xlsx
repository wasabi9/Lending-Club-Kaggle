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2"/>
  <workbookPr autoCompressPictures="0"/>
  <mc:AlternateContent xmlns:mc="http://schemas.openxmlformats.org/markup-compatibility/2006">
    <mc:Choice Requires="x15">
      <x15ac:absPath xmlns:x15ac="http://schemas.microsoft.com/office/spreadsheetml/2010/11/ac" url="/Users/abhinaykumar/Desktop/Project/Lending Club - Delhivery/"/>
    </mc:Choice>
  </mc:AlternateContent>
  <xr:revisionPtr revIDLastSave="0" documentId="13_ncr:1_{85B5DE59-18AE-1947-B583-9F857D9D6AC4}" xr6:coauthVersionLast="46" xr6:coauthVersionMax="46" xr10:uidLastSave="{00000000-0000-0000-0000-000000000000}"/>
  <bookViews>
    <workbookView xWindow="0" yWindow="0" windowWidth="28800" windowHeight="18000" xr2:uid="{00000000-000D-0000-FFFF-FFFF00000000}"/>
  </bookViews>
  <sheets>
    <sheet name="LoanStats" sheetId="3" r:id="rId1"/>
  </sheets>
  <definedNames>
    <definedName name="_xlnm._FilterDatabase" localSheetId="0" hidden="1">LoanStats!$B$1:$C$152</definedName>
  </definedName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56" i="3" l="1"/>
  <c r="A146" i="3"/>
  <c r="A145" i="3"/>
  <c r="A116" i="3"/>
  <c r="A115" i="3"/>
  <c r="A114" i="3"/>
  <c r="A97" i="3"/>
  <c r="A94" i="3"/>
  <c r="A90" i="3"/>
  <c r="A89" i="3"/>
  <c r="A88" i="3"/>
  <c r="A87" i="3"/>
  <c r="A86" i="3"/>
  <c r="A43" i="3"/>
  <c r="A37" i="3"/>
  <c r="A28" i="3"/>
  <c r="A26" i="3"/>
  <c r="A25" i="3"/>
  <c r="A24" i="3"/>
  <c r="A23" i="3"/>
  <c r="A21" i="3"/>
  <c r="A19" i="3"/>
  <c r="A18" i="3"/>
  <c r="A8" i="3"/>
  <c r="A7" i="3"/>
  <c r="A6" i="3"/>
</calcChain>
</file>

<file path=xl/sharedStrings.xml><?xml version="1.0" encoding="utf-8"?>
<sst xmlns="http://schemas.openxmlformats.org/spreadsheetml/2006/main" count="305" uniqueCount="305">
  <si>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</si>
  <si>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</si>
  <si>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</si>
  <si>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</si>
  <si>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</si>
  <si>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</si>
  <si>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</si>
  <si>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</si>
  <si>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</si>
  <si>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</si>
  <si>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</si>
  <si>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</si>
  <si>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</si>
  <si>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</si>
  <si>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</si>
  <si>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</si>
  <si>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</si>
  <si>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</si>
  <si>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</si>
  <si>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</si>
  <si>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</si>
  <si>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</si>
  <si>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</si>
  <si>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</si>
  <si>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</si>
  <si>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</si>
  <si>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</si>
  <si>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</si>
  <si>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</si>
  <si>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</si>
  <si>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</si>
  <si>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</si>
  <si>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</si>
  <si>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</si>
  <si>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</si>
  <si>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</si>
  <si>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</si>
  <si>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</si>
  <si>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</si>
  <si>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</si>
  <si>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</si>
  <si>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</si>
  <si>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</si>
  <si>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</si>
  <si>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</si>
  <si>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</si>
  <si>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</si>
  <si>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</si>
  <si>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</si>
  <si>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</si>
  <si>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</si>
  <si>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</si>
  <si>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</si>
  <si>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</si>
  <si>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</si>
  <si>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</si>
  <si>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</si>
  <si>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LC assigned loan grade</t>
  </si>
  <si>
    <t>A unique LC assigned ID for the loan listing.</t>
  </si>
  <si>
    <t>The initial listing status of the loan. Possible values are – W, F</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</si>
  <si>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</si>
  <si>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</si>
  <si>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</si>
  <si>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</si>
  <si>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</si>
  <si>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</si>
  <si>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</si>
  <si>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</si>
  <si>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</si>
  <si>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</si>
  <si>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</si>
  <si>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</si>
  <si>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</si>
  <si>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</si>
  <si>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</si>
  <si>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</si>
  <si>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</si>
  <si>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</si>
  <si>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</si>
  <si>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</si>
  <si>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</si>
  <si>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</si>
  <si>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</si>
  <si>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</si>
  <si>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</si>
  <si>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</si>
  <si>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</si>
  <si>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</si>
  <si>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</si>
  <si>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</si>
  <si>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</si>
  <si>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</si>
  <si>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</si>
  <si>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</si>
  <si>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</si>
  <si>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</si>
  <si>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</si>
  <si>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</si>
  <si>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</si>
  <si>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</si>
  <si>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</si>
  <si>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</si>
  <si>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</si>
  <si>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</si>
  <si>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</si>
  <si>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</si>
  <si>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</si>
  <si>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</si>
  <si>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</si>
  <si>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</si>
  <si>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</si>
  <si>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</si>
  <si>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</si>
  <si>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</si>
  <si>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</si>
  <si>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</si>
  <si>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</si>
  <si>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</si>
  <si>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</si>
  <si>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</si>
  <si>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</si>
  <si>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</si>
  <si>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</si>
  <si>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</si>
  <si>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</si>
  <si>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</si>
  <si>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</si>
  <si>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</si>
  <si>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</si>
  <si>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</si>
  <si>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</si>
  <si>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</si>
  <si>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</si>
  <si>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</si>
  <si>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</si>
  <si>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</si>
  <si>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</si>
  <si>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</si>
  <si>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</si>
  <si>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</si>
  <si>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</si>
  <si>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</si>
  <si>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</si>
  <si>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</si>
  <si>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</si>
  <si>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</si>
  <si>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</si>
  <si>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</si>
  <si>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</si>
  <si>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</si>
  <si>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</si>
  <si>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</si>
  <si>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</si>
  <si>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</si>
  <si>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</si>
  <si>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</si>
  <si>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</si>
  <si>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</si>
  <si>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</si>
  <si>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</si>
  <si>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</si>
  <si>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</si>
  <si>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</si>
  <si>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</si>
  <si>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 xml:space="preserve">A category provided by the borrower for the loan request. </t>
  </si>
  <si>
    <t>publicly available policy_code=1
new products not publicly available policy_code=2</t>
  </si>
  <si>
    <t>The state provided by the borrower in the loan application</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</si>
  <si>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</si>
  <si>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</si>
  <si>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</si>
  <si>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</si>
  <si>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</si>
  <si>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</si>
  <si>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</si>
  <si>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</si>
  <si>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</si>
  <si>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</si>
  <si>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</si>
  <si>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</si>
  <si>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</si>
  <si>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</si>
  <si>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</si>
  <si>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</si>
  <si>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</si>
  <si>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</si>
  <si>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</si>
  <si>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</si>
  <si>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</si>
  <si>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</si>
  <si>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</si>
  <si>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</si>
  <si>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</si>
  <si>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</si>
  <si>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</si>
  <si>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</si>
  <si>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</si>
  <si>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</si>
  <si>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</si>
  <si>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</si>
  <si>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</si>
  <si>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</si>
  <si>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</si>
  <si>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</si>
  <si>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</si>
  <si>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</si>
  <si>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</si>
  <si>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</si>
  <si>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</si>
  <si>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</si>
  <si>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</si>
  <si>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</si>
  <si>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</si>
  <si>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</si>
  <si>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</si>
  <si>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</si>
  <si>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</si>
  <si>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</si>
  <si>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</si>
  <si>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</si>
  <si>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</si>
  <si>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</si>
  <si>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</si>
  <si>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</si>
  <si>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</si>
  <si>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</si>
  <si>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</si>
  <si>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</si>
  <si>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</si>
  <si>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</si>
  <si>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</si>
  <si>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</si>
  <si>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</si>
  <si>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</si>
  <si>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</si>
  <si>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</si>
  <si>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</si>
  <si>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</si>
  <si>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</si>
  <si>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</si>
  <si>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</si>
  <si>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</si>
  <si>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</si>
  <si>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</si>
  <si>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</si>
  <si>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</si>
  <si>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</si>
  <si>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</si>
  <si>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</si>
  <si>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</si>
  <si>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</si>
  <si>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</si>
  <si>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</si>
  <si>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</si>
  <si>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</si>
  <si>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</si>
  <si>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</si>
  <si>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</si>
  <si>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</si>
  <si>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</si>
  <si>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Calibri"/>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</si>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</sst>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10" xfId="0" applyBorder="1" applyAlignment="1"/>
    <xf numFmtId="0" fontId="0" fillId="0" borderId="0" xfId="0" applyAlignment="1"/>
    <xf numFmtId="0" fontId="0" fillId="0" borderId="0" xfId="0" applyFill="1" applyAlignment="1"/>
    <xf numFmtId="0" fontId="0" fillId="0" borderId="0" xfId="0" applyFill="1"/>
    <xf numFmtId="0" fontId="0" fillId="0" borderId="10" xfId="0" applyFill="1" applyBorder="1" applyAlignment="1"/>
    <xf numFmtId="0" fontId="0" fillId="0" borderId="10" xfId="0" applyBorder="1"/>
    <xf numFmtId="0" fontId="0" fillId="0" borderId="0" xfId="0" applyFill="1" applyBorder="1"/>
    <xf numFmtId="0" fontId="0" fillId="0" borderId="0" xfId="0" applyBorder="1"/>
    <xf numFmtId="0" fontId="0" fillId="0" borderId="0" xfId="0" applyBorder="1" applyAlignment="1"/>
    <xf numFmtId="0" fontId="0" fillId="0" borderId="0" xfId="0" applyFill="1" applyBorder="1" applyAlignment="1">
      <alignment wrapText="1"/>
    </xf>
    <xf numFmtId="0" fontId="18" fillId="33" borderId="0" xfId="0" applyFont="1" applyFill="1" applyBorder="1"/>
    <xf numFmtId="0" fontId="0" fillId="0" borderId="10" xfId="0" applyFont="1" applyBorder="1"/>
    <xf numFmtId="0" fontId="0" fillId="0" borderId="11" xfId="0" applyFill="1" applyBorder="1" applyAlignment="1">
      <alignment wrapText="1"/>
    </xf>
    <xf numFmtId="0" fontId="0" fillId="34" borderId="10" xfId="0" applyFill="1" applyBorder="1" applyAlignment="1"/>
    <xf numFmtId="0" fontId="0" fillId="34" borderId="10" xfId="0" applyFill="1" applyBorder="1"/>
    <xf numFmtId="0" fontId="0" fillId="35" borderId="10" xfId="0" applyFill="1" applyBorder="1" applyAlignment="1"/>
    <xf numFmtId="0" fontId="0" fillId="36" borderId="10" xfId="0" applyFill="1" applyBorder="1" applyAlignment="1"/>
    <xf numFmtId="0" fontId="0" fillId="35" borderId="10" xfId="0" applyFont="1" applyFill="1" applyBorder="1"/>
    <xf numFmtId="0" fontId="0" fillId="36" borderId="10" xfId="0" applyFill="1" applyBorder="1" applyAlignment="1">
      <alignment wrapText="1"/>
    </xf>
    <xf numFmtId="0" fontId="0" fillId="36" borderId="10" xfId="0" applyFill="1" applyBorder="1"/>
    <xf numFmtId="0" fontId="0" fillId="36" borderId="10" xfId="0" applyFont="1" applyFill="1" applyBorder="1"/>
    <xf numFmtId="0" fontId="0" fillId="37" borderId="10" xfId="0" applyFill="1" applyBorder="1" applyAlignment="1">
      <alignment wrapText="1"/>
    </xf>
    <xf numFmtId="0" fontId="0" fillId="37" borderId="10" xfId="0" applyFill="1" applyBorder="1" applyAlignment="1"/>
    <xf numFmtId="0" fontId="0" fillId="37" borderId="10" xfId="0" applyFont="1" applyFill="1" applyBorder="1"/>
    <xf numFmtId="0" fontId="0" fillId="37" borderId="10" xfId="0" applyFill="1" applyBorder="1"/>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FFC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L156"/>
  <sheetViews>
    <sheetView tabSelected="1" workbookViewId="0">
      <pane ySplit="1" topLeftCell="A6" activePane="bottomLeft" state="frozen"/>
      <selection pane="bottomLeft" activeCell="C145" sqref="C145"/>
    </sheetView>
  </sheetViews>
  <sheetFormatPr baseColWidth="10" defaultColWidth="8.83203125" defaultRowHeight="15" x14ac:dyDescent="0.2"/>
  <cols>
    <col min="1" max="1" width="10.6640625" bestFit="1" customWidth="1"/>
    <col min="2" max="2" width="34" bestFit="1" customWidth="1"/>
    <col min="3" max="3" width="196.6640625" bestFit="1" customWidth="1"/>
    <col min="4" max="4" width="118.83203125" style="4" customWidth="1"/>
    <col min="10" max="10" width="25" bestFit="1" customWidth="1"/>
  </cols>
  <sheetData>
    <row r="1" spans="1:5" ht="16" x14ac:dyDescent="0.2">
      <c r="B1" s="11" t="s">
        <v>93</v>
      </c>
      <c r="C1" s="11" t="s">
        <v>48</v>
      </c>
    </row>
    <row r="2" spans="1:5" s="2" customFormat="1" hidden="1" x14ac:dyDescent="0.2">
      <c r="B2" s="15" t="s">
        <v>212</v>
      </c>
      <c r="C2" s="20" t="s">
        <v>49</v>
      </c>
      <c r="D2" s="3"/>
    </row>
    <row r="3" spans="1:5" s="2" customFormat="1" hidden="1" x14ac:dyDescent="0.2">
      <c r="B3" s="15" t="s">
        <v>216</v>
      </c>
      <c r="C3" s="17" t="s">
        <v>50</v>
      </c>
      <c r="D3" s="3"/>
    </row>
    <row r="4" spans="1:5" s="3" customFormat="1" ht="16" hidden="1" x14ac:dyDescent="0.2">
      <c r="B4" s="14" t="s">
        <v>20</v>
      </c>
      <c r="C4" s="19" t="s">
        <v>166</v>
      </c>
      <c r="E4" s="2"/>
    </row>
    <row r="5" spans="1:5" s="3" customFormat="1" hidden="1" x14ac:dyDescent="0.2">
      <c r="B5" s="6" t="s">
        <v>206</v>
      </c>
      <c r="C5" s="20" t="s">
        <v>207</v>
      </c>
      <c r="E5" s="2"/>
    </row>
    <row r="6" spans="1:5" s="2" customFormat="1" ht="16" x14ac:dyDescent="0.2">
      <c r="A6" s="2" t="str">
        <f>_xlfn.CONCAT("'",B6,"',")</f>
        <v>'annual_inc',</v>
      </c>
      <c r="B6" s="14" t="s">
        <v>12</v>
      </c>
      <c r="C6" s="22" t="s">
        <v>180</v>
      </c>
      <c r="D6" s="3"/>
    </row>
    <row r="7" spans="1:5" s="2" customFormat="1" x14ac:dyDescent="0.2">
      <c r="A7" s="2" t="str">
        <f t="shared" ref="A7:A8" si="0">_xlfn.CONCAT("'",B7,"',")</f>
        <v>'annual_inc_joint',</v>
      </c>
      <c r="B7" s="14" t="s">
        <v>175</v>
      </c>
      <c r="C7" s="23" t="s">
        <v>186</v>
      </c>
      <c r="D7" s="3"/>
    </row>
    <row r="8" spans="1:5" s="2" customFormat="1" x14ac:dyDescent="0.2">
      <c r="A8" s="2" t="str">
        <f t="shared" si="0"/>
        <v>'application_type',</v>
      </c>
      <c r="B8" s="14" t="s">
        <v>173</v>
      </c>
      <c r="C8" s="23" t="s">
        <v>174</v>
      </c>
      <c r="D8" s="3"/>
    </row>
    <row r="9" spans="1:5" s="2" customFormat="1" ht="18" hidden="1" customHeight="1" x14ac:dyDescent="0.2">
      <c r="B9" s="15" t="s">
        <v>107</v>
      </c>
      <c r="C9" s="17" t="s">
        <v>152</v>
      </c>
      <c r="D9" s="3"/>
    </row>
    <row r="10" spans="1:5" s="2" customFormat="1" hidden="1" x14ac:dyDescent="0.2">
      <c r="B10" s="6" t="s">
        <v>217</v>
      </c>
      <c r="C10" s="17" t="s">
        <v>51</v>
      </c>
      <c r="D10" s="3"/>
    </row>
    <row r="11" spans="1:5" s="3" customFormat="1" ht="14" hidden="1" customHeight="1" x14ac:dyDescent="0.2">
      <c r="B11" s="6" t="s">
        <v>218</v>
      </c>
      <c r="C11" s="17" t="s">
        <v>52</v>
      </c>
      <c r="E11" s="2"/>
    </row>
    <row r="12" spans="1:5" s="2" customFormat="1" hidden="1" x14ac:dyDescent="0.2">
      <c r="B12" s="6" t="s">
        <v>98</v>
      </c>
      <c r="C12" s="17" t="s">
        <v>123</v>
      </c>
      <c r="D12" s="3"/>
    </row>
    <row r="13" spans="1:5" s="2" customFormat="1" ht="16" hidden="1" x14ac:dyDescent="0.2">
      <c r="B13" s="5" t="s">
        <v>163</v>
      </c>
      <c r="C13" s="19" t="s">
        <v>161</v>
      </c>
      <c r="D13" s="3"/>
    </row>
    <row r="14" spans="1:5" s="2" customFormat="1" ht="16" hidden="1" x14ac:dyDescent="0.2">
      <c r="B14" s="1" t="s">
        <v>99</v>
      </c>
      <c r="C14" s="19" t="s">
        <v>124</v>
      </c>
      <c r="D14" s="3"/>
    </row>
    <row r="15" spans="1:5" s="2" customFormat="1" ht="16" hidden="1" x14ac:dyDescent="0.2">
      <c r="B15" s="14" t="s">
        <v>22</v>
      </c>
      <c r="C15" s="19" t="s">
        <v>53</v>
      </c>
      <c r="D15" s="13"/>
    </row>
    <row r="16" spans="1:5" s="2" customFormat="1" hidden="1" x14ac:dyDescent="0.2">
      <c r="B16" s="15" t="s">
        <v>219</v>
      </c>
      <c r="C16" s="17" t="s">
        <v>54</v>
      </c>
      <c r="D16" s="13"/>
    </row>
    <row r="17" spans="1:4" s="2" customFormat="1" ht="16" hidden="1" x14ac:dyDescent="0.2">
      <c r="B17" s="17" t="s">
        <v>17</v>
      </c>
      <c r="C17" s="19" t="s">
        <v>55</v>
      </c>
      <c r="D17" s="3"/>
    </row>
    <row r="18" spans="1:4" s="2" customFormat="1" ht="14" customHeight="1" x14ac:dyDescent="0.2">
      <c r="A18" s="2" t="str">
        <f t="shared" ref="A18:A19" si="1">_xlfn.CONCAT("'",B18,"',")</f>
        <v>'dti',</v>
      </c>
      <c r="B18" s="16" t="s">
        <v>21</v>
      </c>
      <c r="C18" s="22" t="s">
        <v>304</v>
      </c>
      <c r="D18" s="3"/>
    </row>
    <row r="19" spans="1:4" s="2" customFormat="1" x14ac:dyDescent="0.2">
      <c r="A19" s="2" t="str">
        <f t="shared" si="1"/>
        <v>'dti_joint',</v>
      </c>
      <c r="B19" s="16" t="s">
        <v>176</v>
      </c>
      <c r="C19" s="23" t="s">
        <v>177</v>
      </c>
      <c r="D19" s="3"/>
    </row>
    <row r="20" spans="1:4" s="2" customFormat="1" ht="16" hidden="1" x14ac:dyDescent="0.2">
      <c r="B20" s="1" t="s">
        <v>23</v>
      </c>
      <c r="C20" s="19" t="s">
        <v>170</v>
      </c>
      <c r="D20" s="3"/>
    </row>
    <row r="21" spans="1:4" s="2" customFormat="1" ht="16" x14ac:dyDescent="0.2">
      <c r="A21" s="2" t="str">
        <f>_xlfn.CONCAT("'",B21,"',")</f>
        <v>'emp_length',</v>
      </c>
      <c r="B21" s="16" t="s">
        <v>10</v>
      </c>
      <c r="C21" s="22" t="s">
        <v>56</v>
      </c>
      <c r="D21" s="3"/>
    </row>
    <row r="22" spans="1:4" s="2" customFormat="1" ht="16" hidden="1" x14ac:dyDescent="0.2">
      <c r="B22" s="1" t="s">
        <v>153</v>
      </c>
      <c r="C22" s="19" t="s">
        <v>154</v>
      </c>
      <c r="D22" s="3"/>
    </row>
    <row r="23" spans="1:4" s="2" customFormat="1" ht="16" x14ac:dyDescent="0.2">
      <c r="A23" s="2" t="str">
        <f t="shared" ref="A23:A26" si="2">_xlfn.CONCAT("'",B23,"',")</f>
        <v>'fico_range_high',</v>
      </c>
      <c r="B23" s="14" t="s">
        <v>25</v>
      </c>
      <c r="C23" s="22" t="s">
        <v>181</v>
      </c>
      <c r="D23" s="3"/>
    </row>
    <row r="24" spans="1:4" s="2" customFormat="1" ht="16" x14ac:dyDescent="0.2">
      <c r="A24" s="2" t="str">
        <f t="shared" si="2"/>
        <v>'fico_range_low',</v>
      </c>
      <c r="B24" s="14" t="s">
        <v>24</v>
      </c>
      <c r="C24" s="22" t="s">
        <v>182</v>
      </c>
      <c r="D24" s="3"/>
    </row>
    <row r="25" spans="1:4" s="2" customFormat="1" ht="16" x14ac:dyDescent="0.2">
      <c r="A25" s="2" t="str">
        <f t="shared" si="2"/>
        <v>'funded_amnt',</v>
      </c>
      <c r="B25" s="16" t="s">
        <v>3</v>
      </c>
      <c r="C25" s="22" t="s">
        <v>157</v>
      </c>
      <c r="D25" s="3"/>
    </row>
    <row r="26" spans="1:4" s="2" customFormat="1" ht="16" x14ac:dyDescent="0.2">
      <c r="A26" s="2" t="str">
        <f t="shared" si="2"/>
        <v>'funded_amnt_inv',</v>
      </c>
      <c r="B26" s="16" t="s">
        <v>4</v>
      </c>
      <c r="C26" s="22" t="s">
        <v>158</v>
      </c>
      <c r="D26" s="3"/>
    </row>
    <row r="27" spans="1:4" s="2" customFormat="1" ht="16" hidden="1" x14ac:dyDescent="0.2">
      <c r="B27" s="14" t="s">
        <v>8</v>
      </c>
      <c r="C27" s="19" t="s">
        <v>57</v>
      </c>
      <c r="D27" s="3"/>
    </row>
    <row r="28" spans="1:4" s="2" customFormat="1" ht="16" x14ac:dyDescent="0.2">
      <c r="A28" s="2" t="str">
        <f>_xlfn.CONCAT("'",B28,"',")</f>
        <v>'home_ownership',</v>
      </c>
      <c r="B28" s="14" t="s">
        <v>11</v>
      </c>
      <c r="C28" s="22" t="s">
        <v>230</v>
      </c>
      <c r="D28" s="3"/>
    </row>
    <row r="29" spans="1:4" s="2" customFormat="1" ht="16" hidden="1" x14ac:dyDescent="0.2">
      <c r="B29" s="1" t="s">
        <v>0</v>
      </c>
      <c r="C29" s="19" t="s">
        <v>58</v>
      </c>
      <c r="D29" s="13"/>
    </row>
    <row r="30" spans="1:4" s="2" customFormat="1" hidden="1" x14ac:dyDescent="0.2">
      <c r="B30" s="15" t="s">
        <v>198</v>
      </c>
      <c r="C30" s="20" t="s">
        <v>199</v>
      </c>
      <c r="D30" s="13"/>
    </row>
    <row r="31" spans="1:4" s="2" customFormat="1" ht="18" hidden="1" customHeight="1" x14ac:dyDescent="0.2">
      <c r="B31" s="1" t="s">
        <v>34</v>
      </c>
      <c r="C31" s="19" t="s">
        <v>59</v>
      </c>
      <c r="D31" s="3"/>
    </row>
    <row r="32" spans="1:4" s="2" customFormat="1" hidden="1" x14ac:dyDescent="0.2">
      <c r="B32" s="15" t="s">
        <v>208</v>
      </c>
      <c r="C32" s="20" t="s">
        <v>209</v>
      </c>
      <c r="D32" s="3"/>
    </row>
    <row r="33" spans="1:12" s="2" customFormat="1" hidden="1" x14ac:dyDescent="0.2">
      <c r="B33" s="15" t="s">
        <v>210</v>
      </c>
      <c r="C33" s="20" t="s">
        <v>211</v>
      </c>
      <c r="D33" s="3"/>
    </row>
    <row r="34" spans="1:12" s="2" customFormat="1" ht="16" hidden="1" x14ac:dyDescent="0.2">
      <c r="B34" s="14" t="s">
        <v>26</v>
      </c>
      <c r="C34" s="19" t="s">
        <v>183</v>
      </c>
      <c r="D34" s="3"/>
    </row>
    <row r="35" spans="1:12" s="2" customFormat="1" ht="16" hidden="1" x14ac:dyDescent="0.2">
      <c r="B35" s="1" t="s">
        <v>7</v>
      </c>
      <c r="C35" s="19" t="s">
        <v>60</v>
      </c>
      <c r="D35" s="3"/>
    </row>
    <row r="36" spans="1:12" s="2" customFormat="1" ht="16" hidden="1" x14ac:dyDescent="0.2">
      <c r="B36" s="14" t="s">
        <v>6</v>
      </c>
      <c r="C36" s="19" t="s">
        <v>81</v>
      </c>
      <c r="D36" s="3"/>
    </row>
    <row r="37" spans="1:12" s="2" customFormat="1" ht="16" x14ac:dyDescent="0.2">
      <c r="A37" s="2" t="str">
        <f>_xlfn.CONCAT("'",B37,"',")</f>
        <v>'issue_d',</v>
      </c>
      <c r="B37" s="16" t="s">
        <v>13</v>
      </c>
      <c r="C37" s="22" t="s">
        <v>169</v>
      </c>
      <c r="D37" s="3"/>
      <c r="J37" s="7"/>
      <c r="K37" s="8"/>
    </row>
    <row r="38" spans="1:12" s="2" customFormat="1" ht="16" hidden="1" x14ac:dyDescent="0.2">
      <c r="B38" s="1" t="s">
        <v>45</v>
      </c>
      <c r="C38" s="19" t="s">
        <v>172</v>
      </c>
      <c r="D38" s="3"/>
    </row>
    <row r="39" spans="1:12" ht="16" hidden="1" x14ac:dyDescent="0.2">
      <c r="B39" s="5" t="s">
        <v>46</v>
      </c>
      <c r="C39" s="19" t="s">
        <v>184</v>
      </c>
      <c r="E39" s="2"/>
    </row>
    <row r="40" spans="1:12" ht="16" hidden="1" x14ac:dyDescent="0.2">
      <c r="B40" s="5" t="s">
        <v>47</v>
      </c>
      <c r="C40" s="19" t="s">
        <v>185</v>
      </c>
      <c r="E40" s="2"/>
    </row>
    <row r="41" spans="1:12" ht="16" hidden="1" customHeight="1" x14ac:dyDescent="0.2">
      <c r="B41" s="1" t="s">
        <v>43</v>
      </c>
      <c r="C41" s="19" t="s">
        <v>91</v>
      </c>
      <c r="E41" s="2"/>
    </row>
    <row r="42" spans="1:12" ht="16" hidden="1" x14ac:dyDescent="0.2">
      <c r="B42" s="1" t="s">
        <v>42</v>
      </c>
      <c r="C42" s="19" t="s">
        <v>171</v>
      </c>
      <c r="E42" s="2"/>
    </row>
    <row r="43" spans="1:12" ht="16" customHeight="1" x14ac:dyDescent="0.2">
      <c r="A43" s="2" t="str">
        <f>_xlfn.CONCAT("'",B43,"',")</f>
        <v>'loan_amnt',</v>
      </c>
      <c r="B43" s="14" t="s">
        <v>2</v>
      </c>
      <c r="C43" s="22" t="s">
        <v>61</v>
      </c>
      <c r="E43" s="2"/>
    </row>
    <row r="44" spans="1:12" ht="16" hidden="1" x14ac:dyDescent="0.2">
      <c r="B44" s="14" t="s">
        <v>14</v>
      </c>
      <c r="C44" s="19" t="s">
        <v>82</v>
      </c>
      <c r="E44" s="2"/>
    </row>
    <row r="45" spans="1:12" hidden="1" x14ac:dyDescent="0.2">
      <c r="B45" s="6" t="s">
        <v>204</v>
      </c>
      <c r="C45" s="20" t="s">
        <v>205</v>
      </c>
      <c r="E45" s="2"/>
    </row>
    <row r="46" spans="1:12" ht="16" hidden="1" x14ac:dyDescent="0.2">
      <c r="B46" s="1" t="s">
        <v>1</v>
      </c>
      <c r="C46" s="19" t="s">
        <v>62</v>
      </c>
      <c r="E46" s="2"/>
      <c r="J46" s="7"/>
      <c r="K46" s="8"/>
      <c r="L46" s="8"/>
    </row>
    <row r="47" spans="1:12" hidden="1" x14ac:dyDescent="0.2">
      <c r="B47" s="6" t="s">
        <v>220</v>
      </c>
      <c r="C47" s="17" t="s">
        <v>125</v>
      </c>
      <c r="E47" s="2"/>
      <c r="J47" s="7"/>
      <c r="K47" s="8"/>
      <c r="L47" s="8"/>
    </row>
    <row r="48" spans="1:12" hidden="1" x14ac:dyDescent="0.2">
      <c r="B48" s="6" t="s">
        <v>117</v>
      </c>
      <c r="C48" s="17" t="s">
        <v>126</v>
      </c>
      <c r="E48" s="2"/>
      <c r="J48" s="9"/>
      <c r="K48" s="8"/>
      <c r="L48" s="8"/>
    </row>
    <row r="49" spans="2:5" hidden="1" x14ac:dyDescent="0.2">
      <c r="B49" s="6" t="s">
        <v>118</v>
      </c>
      <c r="C49" s="17" t="s">
        <v>127</v>
      </c>
      <c r="E49" s="2"/>
    </row>
    <row r="50" spans="2:5" hidden="1" x14ac:dyDescent="0.2">
      <c r="B50" s="6" t="s">
        <v>104</v>
      </c>
      <c r="C50" s="17" t="s">
        <v>128</v>
      </c>
      <c r="E50" s="2"/>
    </row>
    <row r="51" spans="2:5" hidden="1" x14ac:dyDescent="0.2">
      <c r="B51" s="15" t="s">
        <v>221</v>
      </c>
      <c r="C51" s="17" t="s">
        <v>63</v>
      </c>
      <c r="E51" s="2"/>
    </row>
    <row r="52" spans="2:5" ht="16" hidden="1" x14ac:dyDescent="0.2">
      <c r="B52" s="14" t="s">
        <v>27</v>
      </c>
      <c r="C52" s="19" t="s">
        <v>64</v>
      </c>
      <c r="E52" s="2"/>
    </row>
    <row r="53" spans="2:5" hidden="1" x14ac:dyDescent="0.2">
      <c r="B53" s="15" t="s">
        <v>101</v>
      </c>
      <c r="C53" s="20" t="s">
        <v>129</v>
      </c>
      <c r="E53" s="2"/>
    </row>
    <row r="54" spans="2:5" ht="16" hidden="1" x14ac:dyDescent="0.2">
      <c r="B54" s="1" t="s">
        <v>28</v>
      </c>
      <c r="C54" s="19" t="s">
        <v>65</v>
      </c>
      <c r="E54" s="2"/>
    </row>
    <row r="55" spans="2:5" hidden="1" x14ac:dyDescent="0.2">
      <c r="B55" s="6" t="s">
        <v>194</v>
      </c>
      <c r="C55" s="20" t="s">
        <v>195</v>
      </c>
      <c r="E55" s="2"/>
    </row>
    <row r="56" spans="2:5" hidden="1" x14ac:dyDescent="0.2">
      <c r="B56" s="6" t="s">
        <v>222</v>
      </c>
      <c r="C56" s="17" t="s">
        <v>67</v>
      </c>
      <c r="E56" s="2"/>
    </row>
    <row r="57" spans="2:5" hidden="1" x14ac:dyDescent="0.2">
      <c r="B57" s="15" t="s">
        <v>223</v>
      </c>
      <c r="C57" s="17" t="s">
        <v>224</v>
      </c>
      <c r="E57" s="2"/>
    </row>
    <row r="58" spans="2:5" hidden="1" x14ac:dyDescent="0.2">
      <c r="B58" s="6" t="s">
        <v>225</v>
      </c>
      <c r="C58" s="17" t="s">
        <v>66</v>
      </c>
      <c r="E58" s="2"/>
    </row>
    <row r="59" spans="2:5" hidden="1" x14ac:dyDescent="0.2">
      <c r="B59" s="6" t="s">
        <v>226</v>
      </c>
      <c r="C59" s="17" t="s">
        <v>68</v>
      </c>
      <c r="E59" s="2"/>
    </row>
    <row r="60" spans="2:5" s="4" customFormat="1" ht="16" hidden="1" x14ac:dyDescent="0.2">
      <c r="B60" s="1" t="s">
        <v>44</v>
      </c>
      <c r="C60" s="19" t="s">
        <v>92</v>
      </c>
      <c r="E60" s="2"/>
    </row>
    <row r="61" spans="2:5" hidden="1" x14ac:dyDescent="0.2">
      <c r="B61" s="6" t="s">
        <v>97</v>
      </c>
      <c r="C61" s="17" t="s">
        <v>130</v>
      </c>
      <c r="E61" s="2"/>
    </row>
    <row r="62" spans="2:5" hidden="1" x14ac:dyDescent="0.2">
      <c r="B62" s="6" t="s">
        <v>109</v>
      </c>
      <c r="C62" s="17" t="s">
        <v>135</v>
      </c>
    </row>
    <row r="63" spans="2:5" hidden="1" x14ac:dyDescent="0.2">
      <c r="B63" s="6" t="s">
        <v>116</v>
      </c>
      <c r="C63" s="17" t="s">
        <v>141</v>
      </c>
    </row>
    <row r="64" spans="2:5" hidden="1" x14ac:dyDescent="0.2">
      <c r="B64" s="6" t="s">
        <v>110</v>
      </c>
      <c r="C64" s="17" t="s">
        <v>136</v>
      </c>
    </row>
    <row r="65" spans="2:7" hidden="1" x14ac:dyDescent="0.2">
      <c r="B65" s="6" t="s">
        <v>108</v>
      </c>
      <c r="C65" s="17" t="s">
        <v>134</v>
      </c>
    </row>
    <row r="66" spans="2:7" hidden="1" x14ac:dyDescent="0.2">
      <c r="B66" s="6" t="s">
        <v>115</v>
      </c>
      <c r="C66" s="17" t="s">
        <v>140</v>
      </c>
    </row>
    <row r="67" spans="2:7" hidden="1" x14ac:dyDescent="0.2">
      <c r="B67" s="6" t="s">
        <v>120</v>
      </c>
      <c r="C67" s="17" t="s">
        <v>143</v>
      </c>
    </row>
    <row r="68" spans="2:7" hidden="1" x14ac:dyDescent="0.2">
      <c r="B68" s="6" t="s">
        <v>95</v>
      </c>
      <c r="C68" s="17" t="s">
        <v>131</v>
      </c>
    </row>
    <row r="69" spans="2:7" hidden="1" x14ac:dyDescent="0.2">
      <c r="B69" s="6" t="s">
        <v>119</v>
      </c>
      <c r="C69" s="17" t="s">
        <v>142</v>
      </c>
    </row>
    <row r="70" spans="2:7" hidden="1" x14ac:dyDescent="0.2">
      <c r="B70" s="6" t="s">
        <v>102</v>
      </c>
      <c r="C70" s="17" t="s">
        <v>132</v>
      </c>
    </row>
    <row r="71" spans="2:7" hidden="1" x14ac:dyDescent="0.2">
      <c r="B71" s="6" t="s">
        <v>114</v>
      </c>
      <c r="C71" s="17" t="s">
        <v>139</v>
      </c>
    </row>
    <row r="72" spans="2:7" hidden="1" x14ac:dyDescent="0.2">
      <c r="B72" s="6" t="s">
        <v>113</v>
      </c>
      <c r="C72" s="17" t="s">
        <v>138</v>
      </c>
    </row>
    <row r="73" spans="2:7" hidden="1" x14ac:dyDescent="0.2">
      <c r="B73" s="6" t="s">
        <v>112</v>
      </c>
      <c r="C73" s="17" t="s">
        <v>137</v>
      </c>
      <c r="D73"/>
      <c r="G73" s="4"/>
    </row>
    <row r="74" spans="2:7" hidden="1" x14ac:dyDescent="0.2">
      <c r="B74" s="6" t="s">
        <v>103</v>
      </c>
      <c r="C74" s="17" t="s">
        <v>133</v>
      </c>
    </row>
    <row r="75" spans="2:7" ht="16" hidden="1" x14ac:dyDescent="0.2">
      <c r="B75" s="1" t="s">
        <v>29</v>
      </c>
      <c r="C75" s="19" t="s">
        <v>69</v>
      </c>
    </row>
    <row r="76" spans="2:7" hidden="1" x14ac:dyDescent="0.2">
      <c r="B76" s="6" t="s">
        <v>187</v>
      </c>
      <c r="C76" s="20" t="s">
        <v>188</v>
      </c>
    </row>
    <row r="77" spans="2:7" hidden="1" x14ac:dyDescent="0.2">
      <c r="B77" s="6" t="s">
        <v>190</v>
      </c>
      <c r="C77" s="20" t="s">
        <v>191</v>
      </c>
    </row>
    <row r="78" spans="2:7" hidden="1" x14ac:dyDescent="0.2">
      <c r="B78" s="6" t="s">
        <v>192</v>
      </c>
      <c r="C78" s="20" t="s">
        <v>193</v>
      </c>
    </row>
    <row r="79" spans="2:7" hidden="1" x14ac:dyDescent="0.2">
      <c r="B79" s="6" t="s">
        <v>256</v>
      </c>
      <c r="C79" s="20" t="s">
        <v>189</v>
      </c>
    </row>
    <row r="80" spans="2:7" hidden="1" x14ac:dyDescent="0.2">
      <c r="B80" s="6" t="s">
        <v>200</v>
      </c>
      <c r="C80" s="20" t="s">
        <v>201</v>
      </c>
    </row>
    <row r="81" spans="1:3" hidden="1" x14ac:dyDescent="0.2">
      <c r="B81" s="6" t="s">
        <v>202</v>
      </c>
      <c r="C81" s="20" t="s">
        <v>203</v>
      </c>
    </row>
    <row r="82" spans="1:3" ht="16" hidden="1" x14ac:dyDescent="0.2">
      <c r="B82" s="1" t="s">
        <v>35</v>
      </c>
      <c r="C82" s="19" t="s">
        <v>83</v>
      </c>
    </row>
    <row r="83" spans="1:3" ht="16" hidden="1" x14ac:dyDescent="0.2">
      <c r="B83" s="1" t="s">
        <v>36</v>
      </c>
      <c r="C83" s="19" t="s">
        <v>84</v>
      </c>
    </row>
    <row r="84" spans="1:3" hidden="1" x14ac:dyDescent="0.2">
      <c r="B84" s="6" t="s">
        <v>111</v>
      </c>
      <c r="C84" s="17" t="s">
        <v>144</v>
      </c>
    </row>
    <row r="85" spans="1:3" hidden="1" x14ac:dyDescent="0.2">
      <c r="B85" s="6" t="s">
        <v>227</v>
      </c>
      <c r="C85" s="17" t="s">
        <v>70</v>
      </c>
    </row>
    <row r="86" spans="1:3" ht="32" x14ac:dyDescent="0.2">
      <c r="A86" s="2" t="str">
        <f t="shared" ref="A86:A90" si="3">_xlfn.CONCAT("'",B86,"',")</f>
        <v>'policy_code',</v>
      </c>
      <c r="B86" s="16" t="s">
        <v>122</v>
      </c>
      <c r="C86" s="22" t="s">
        <v>165</v>
      </c>
    </row>
    <row r="87" spans="1:3" ht="16" x14ac:dyDescent="0.2">
      <c r="A87" s="2" t="str">
        <f t="shared" si="3"/>
        <v>'pub_rec',</v>
      </c>
      <c r="B87" s="1" t="s">
        <v>30</v>
      </c>
      <c r="C87" s="22" t="s">
        <v>71</v>
      </c>
    </row>
    <row r="88" spans="1:3" x14ac:dyDescent="0.2">
      <c r="A88" s="2" t="str">
        <f t="shared" si="3"/>
        <v>'pub_rec_bankruptcies',</v>
      </c>
      <c r="B88" s="6" t="s">
        <v>96</v>
      </c>
      <c r="C88" s="23" t="s">
        <v>145</v>
      </c>
    </row>
    <row r="89" spans="1:3" ht="16" x14ac:dyDescent="0.2">
      <c r="A89" s="2" t="str">
        <f t="shared" si="3"/>
        <v>'purpose',</v>
      </c>
      <c r="B89" s="17" t="s">
        <v>18</v>
      </c>
      <c r="C89" s="22" t="s">
        <v>164</v>
      </c>
    </row>
    <row r="90" spans="1:3" ht="16" x14ac:dyDescent="0.2">
      <c r="A90" s="2" t="str">
        <f t="shared" si="3"/>
        <v>'pymnt_plan',</v>
      </c>
      <c r="B90" s="1" t="s">
        <v>15</v>
      </c>
      <c r="C90" s="22" t="s">
        <v>85</v>
      </c>
    </row>
    <row r="91" spans="1:3" ht="16" hidden="1" x14ac:dyDescent="0.2">
      <c r="B91" s="5" t="s">
        <v>162</v>
      </c>
      <c r="C91" s="19" t="s">
        <v>160</v>
      </c>
    </row>
    <row r="92" spans="1:3" ht="16" hidden="1" x14ac:dyDescent="0.2">
      <c r="B92" s="1" t="s">
        <v>31</v>
      </c>
      <c r="C92" s="19" t="s">
        <v>72</v>
      </c>
    </row>
    <row r="93" spans="1:3" ht="16" hidden="1" x14ac:dyDescent="0.2">
      <c r="B93" s="1" t="s">
        <v>32</v>
      </c>
      <c r="C93" s="19" t="s">
        <v>73</v>
      </c>
    </row>
    <row r="94" spans="1:3" ht="16" x14ac:dyDescent="0.2">
      <c r="A94" s="2" t="str">
        <f>_xlfn.CONCAT("'",B94,"',")</f>
        <v>'sub_grade',</v>
      </c>
      <c r="B94" s="1" t="s">
        <v>9</v>
      </c>
      <c r="C94" s="22" t="s">
        <v>74</v>
      </c>
    </row>
    <row r="95" spans="1:3" hidden="1" x14ac:dyDescent="0.2">
      <c r="B95" s="6" t="s">
        <v>100</v>
      </c>
      <c r="C95" s="17" t="s">
        <v>146</v>
      </c>
    </row>
    <row r="96" spans="1:3" ht="16" hidden="1" x14ac:dyDescent="0.2">
      <c r="B96" s="1" t="s">
        <v>5</v>
      </c>
      <c r="C96" s="19" t="s">
        <v>75</v>
      </c>
    </row>
    <row r="97" spans="1:3" ht="16" x14ac:dyDescent="0.2">
      <c r="A97" s="2" t="str">
        <f>_xlfn.CONCAT("'",B97,"',")</f>
        <v>'title',</v>
      </c>
      <c r="B97" s="16" t="s">
        <v>19</v>
      </c>
      <c r="C97" s="22" t="s">
        <v>76</v>
      </c>
    </row>
    <row r="98" spans="1:3" hidden="1" x14ac:dyDescent="0.2">
      <c r="B98" s="6" t="s">
        <v>121</v>
      </c>
      <c r="C98" s="20" t="s">
        <v>149</v>
      </c>
    </row>
    <row r="99" spans="1:3" hidden="1" x14ac:dyDescent="0.2">
      <c r="B99" s="6" t="s">
        <v>106</v>
      </c>
      <c r="C99" s="20" t="s">
        <v>148</v>
      </c>
    </row>
    <row r="100" spans="1:3" hidden="1" x14ac:dyDescent="0.2">
      <c r="B100" s="6" t="s">
        <v>105</v>
      </c>
      <c r="C100" s="17" t="s">
        <v>147</v>
      </c>
    </row>
    <row r="101" spans="1:3" ht="16" hidden="1" x14ac:dyDescent="0.2">
      <c r="B101" s="1" t="s">
        <v>33</v>
      </c>
      <c r="C101" s="19" t="s">
        <v>77</v>
      </c>
    </row>
    <row r="102" spans="1:3" hidden="1" x14ac:dyDescent="0.2">
      <c r="B102" s="6" t="s">
        <v>228</v>
      </c>
      <c r="C102" s="17" t="s">
        <v>78</v>
      </c>
    </row>
    <row r="103" spans="1:3" hidden="1" x14ac:dyDescent="0.2">
      <c r="B103" s="6" t="s">
        <v>196</v>
      </c>
      <c r="C103" s="20" t="s">
        <v>197</v>
      </c>
    </row>
    <row r="104" spans="1:3" hidden="1" x14ac:dyDescent="0.2">
      <c r="B104" s="6" t="s">
        <v>229</v>
      </c>
      <c r="C104" s="17" t="s">
        <v>79</v>
      </c>
    </row>
    <row r="105" spans="1:3" hidden="1" x14ac:dyDescent="0.2">
      <c r="B105" s="6" t="s">
        <v>214</v>
      </c>
      <c r="C105" s="20" t="s">
        <v>213</v>
      </c>
    </row>
    <row r="106" spans="1:3" hidden="1" x14ac:dyDescent="0.2">
      <c r="B106" s="6" t="s">
        <v>94</v>
      </c>
      <c r="C106" s="17" t="s">
        <v>150</v>
      </c>
    </row>
    <row r="107" spans="1:3" ht="16" hidden="1" x14ac:dyDescent="0.2">
      <c r="B107" s="1" t="s">
        <v>37</v>
      </c>
      <c r="C107" s="19" t="s">
        <v>86</v>
      </c>
    </row>
    <row r="108" spans="1:3" ht="16" hidden="1" x14ac:dyDescent="0.2">
      <c r="B108" s="1" t="s">
        <v>38</v>
      </c>
      <c r="C108" s="19" t="s">
        <v>87</v>
      </c>
    </row>
    <row r="109" spans="1:3" ht="16" hidden="1" x14ac:dyDescent="0.2">
      <c r="B109" s="1" t="s">
        <v>40</v>
      </c>
      <c r="C109" s="19" t="s">
        <v>89</v>
      </c>
    </row>
    <row r="110" spans="1:3" ht="16" hidden="1" x14ac:dyDescent="0.2">
      <c r="B110" s="1" t="s">
        <v>41</v>
      </c>
      <c r="C110" s="19" t="s">
        <v>88</v>
      </c>
    </row>
    <row r="111" spans="1:3" ht="16" hidden="1" x14ac:dyDescent="0.2">
      <c r="B111" s="1" t="s">
        <v>39</v>
      </c>
      <c r="C111" s="19" t="s">
        <v>90</v>
      </c>
    </row>
    <row r="112" spans="1:3" hidden="1" x14ac:dyDescent="0.2">
      <c r="B112" s="6" t="s">
        <v>156</v>
      </c>
      <c r="C112" s="20" t="s">
        <v>151</v>
      </c>
    </row>
    <row r="113" spans="1:3" ht="16" hidden="1" x14ac:dyDescent="0.2">
      <c r="B113" s="1" t="s">
        <v>16</v>
      </c>
      <c r="C113" s="19" t="s">
        <v>80</v>
      </c>
    </row>
    <row r="114" spans="1:3" ht="16" x14ac:dyDescent="0.2">
      <c r="A114" s="2" t="str">
        <f t="shared" ref="A114:A116" si="4">_xlfn.CONCAT("'",B114,"',")</f>
        <v>'verification_status',</v>
      </c>
      <c r="B114" s="5" t="s">
        <v>215</v>
      </c>
      <c r="C114" s="22" t="s">
        <v>159</v>
      </c>
    </row>
    <row r="115" spans="1:3" x14ac:dyDescent="0.2">
      <c r="A115" s="2" t="str">
        <f t="shared" si="4"/>
        <v>'verified_status_joint',</v>
      </c>
      <c r="B115" s="5" t="s">
        <v>178</v>
      </c>
      <c r="C115" s="23" t="s">
        <v>179</v>
      </c>
    </row>
    <row r="116" spans="1:3" x14ac:dyDescent="0.2">
      <c r="A116" s="2" t="str">
        <f t="shared" si="4"/>
        <v>'zip_code',</v>
      </c>
      <c r="B116" s="18" t="s">
        <v>168</v>
      </c>
      <c r="C116" s="24" t="s">
        <v>167</v>
      </c>
    </row>
    <row r="117" spans="1:3" hidden="1" x14ac:dyDescent="0.2">
      <c r="B117" s="12" t="s">
        <v>231</v>
      </c>
      <c r="C117" s="21" t="s">
        <v>232</v>
      </c>
    </row>
    <row r="118" spans="1:3" hidden="1" x14ac:dyDescent="0.2">
      <c r="B118" s="12" t="s">
        <v>233</v>
      </c>
      <c r="C118" s="21" t="s">
        <v>234</v>
      </c>
    </row>
    <row r="119" spans="1:3" hidden="1" x14ac:dyDescent="0.2">
      <c r="B119" s="12" t="s">
        <v>235</v>
      </c>
      <c r="C119" s="21" t="s">
        <v>236</v>
      </c>
    </row>
    <row r="120" spans="1:3" hidden="1" x14ac:dyDescent="0.2">
      <c r="B120" s="12" t="s">
        <v>237</v>
      </c>
      <c r="C120" s="21" t="s">
        <v>238</v>
      </c>
    </row>
    <row r="121" spans="1:3" hidden="1" x14ac:dyDescent="0.2">
      <c r="B121" s="12" t="s">
        <v>239</v>
      </c>
      <c r="C121" s="21" t="s">
        <v>240</v>
      </c>
    </row>
    <row r="122" spans="1:3" hidden="1" x14ac:dyDescent="0.2">
      <c r="B122" s="12" t="s">
        <v>241</v>
      </c>
      <c r="C122" s="21" t="s">
        <v>242</v>
      </c>
    </row>
    <row r="123" spans="1:3" hidden="1" x14ac:dyDescent="0.2">
      <c r="B123" s="12" t="s">
        <v>243</v>
      </c>
      <c r="C123" s="21" t="s">
        <v>244</v>
      </c>
    </row>
    <row r="124" spans="1:3" hidden="1" x14ac:dyDescent="0.2">
      <c r="B124" s="12" t="s">
        <v>245</v>
      </c>
      <c r="C124" s="21" t="s">
        <v>246</v>
      </c>
    </row>
    <row r="125" spans="1:3" hidden="1" x14ac:dyDescent="0.2">
      <c r="B125" s="12" t="s">
        <v>257</v>
      </c>
      <c r="C125" s="21" t="s">
        <v>247</v>
      </c>
    </row>
    <row r="126" spans="1:3" hidden="1" x14ac:dyDescent="0.2">
      <c r="B126" s="12" t="s">
        <v>248</v>
      </c>
      <c r="C126" s="21" t="s">
        <v>249</v>
      </c>
    </row>
    <row r="127" spans="1:3" hidden="1" x14ac:dyDescent="0.2">
      <c r="B127" s="12" t="s">
        <v>250</v>
      </c>
      <c r="C127" s="21" t="s">
        <v>251</v>
      </c>
    </row>
    <row r="128" spans="1:3" hidden="1" x14ac:dyDescent="0.2">
      <c r="B128" s="12" t="s">
        <v>252</v>
      </c>
      <c r="C128" s="21" t="s">
        <v>253</v>
      </c>
    </row>
    <row r="129" spans="2:3" hidden="1" x14ac:dyDescent="0.2">
      <c r="B129" s="12" t="s">
        <v>254</v>
      </c>
      <c r="C129" s="21" t="s">
        <v>255</v>
      </c>
    </row>
    <row r="130" spans="2:3" hidden="1" x14ac:dyDescent="0.2">
      <c r="B130" s="6" t="s">
        <v>268</v>
      </c>
      <c r="C130" s="20" t="s">
        <v>288</v>
      </c>
    </row>
    <row r="131" spans="2:3" hidden="1" x14ac:dyDescent="0.2">
      <c r="B131" s="6" t="s">
        <v>269</v>
      </c>
      <c r="C131" s="20" t="s">
        <v>289</v>
      </c>
    </row>
    <row r="132" spans="2:3" hidden="1" x14ac:dyDescent="0.2">
      <c r="B132" s="6" t="s">
        <v>270</v>
      </c>
      <c r="C132" s="20" t="s">
        <v>290</v>
      </c>
    </row>
    <row r="133" spans="2:3" hidden="1" x14ac:dyDescent="0.2">
      <c r="B133" s="6" t="s">
        <v>271</v>
      </c>
      <c r="C133" s="20" t="s">
        <v>291</v>
      </c>
    </row>
    <row r="134" spans="2:3" hidden="1" x14ac:dyDescent="0.2">
      <c r="B134" s="6" t="s">
        <v>272</v>
      </c>
      <c r="C134" s="20" t="s">
        <v>292</v>
      </c>
    </row>
    <row r="135" spans="2:3" hidden="1" x14ac:dyDescent="0.2">
      <c r="B135" s="6" t="s">
        <v>273</v>
      </c>
      <c r="C135" s="20" t="s">
        <v>293</v>
      </c>
    </row>
    <row r="136" spans="2:3" hidden="1" x14ac:dyDescent="0.2">
      <c r="B136" s="6" t="s">
        <v>274</v>
      </c>
      <c r="C136" s="20" t="s">
        <v>294</v>
      </c>
    </row>
    <row r="137" spans="2:3" hidden="1" x14ac:dyDescent="0.2">
      <c r="B137" s="6" t="s">
        <v>275</v>
      </c>
      <c r="C137" s="20" t="s">
        <v>295</v>
      </c>
    </row>
    <row r="138" spans="2:3" hidden="1" x14ac:dyDescent="0.2">
      <c r="B138" s="6" t="s">
        <v>276</v>
      </c>
      <c r="C138" s="20" t="s">
        <v>296</v>
      </c>
    </row>
    <row r="139" spans="2:3" hidden="1" x14ac:dyDescent="0.2">
      <c r="B139" s="6" t="s">
        <v>277</v>
      </c>
      <c r="C139" s="20" t="s">
        <v>297</v>
      </c>
    </row>
    <row r="140" spans="2:3" hidden="1" x14ac:dyDescent="0.2">
      <c r="B140" s="6" t="s">
        <v>278</v>
      </c>
      <c r="C140" s="20" t="s">
        <v>298</v>
      </c>
    </row>
    <row r="141" spans="2:3" hidden="1" x14ac:dyDescent="0.2">
      <c r="B141" s="6" t="s">
        <v>279</v>
      </c>
      <c r="C141" s="20" t="s">
        <v>299</v>
      </c>
    </row>
    <row r="142" spans="2:3" hidden="1" x14ac:dyDescent="0.2">
      <c r="B142" s="6" t="s">
        <v>280</v>
      </c>
      <c r="C142" s="20" t="s">
        <v>300</v>
      </c>
    </row>
    <row r="143" spans="2:3" hidden="1" x14ac:dyDescent="0.2">
      <c r="B143" s="6" t="s">
        <v>281</v>
      </c>
      <c r="C143" s="20" t="s">
        <v>301</v>
      </c>
    </row>
    <row r="144" spans="2:3" hidden="1" x14ac:dyDescent="0.2">
      <c r="B144" s="6" t="s">
        <v>282</v>
      </c>
      <c r="C144" s="20" t="s">
        <v>302</v>
      </c>
    </row>
    <row r="145" spans="1:3" x14ac:dyDescent="0.2">
      <c r="A145" s="2" t="str">
        <f t="shared" ref="A145:A146" si="5">_xlfn.CONCAT("'",B145,"',")</f>
        <v>'disbursement_method',</v>
      </c>
      <c r="B145" s="6" t="s">
        <v>283</v>
      </c>
      <c r="C145" s="25" t="s">
        <v>303</v>
      </c>
    </row>
    <row r="146" spans="1:3" x14ac:dyDescent="0.2">
      <c r="A146" s="2" t="str">
        <f t="shared" si="5"/>
        <v>'debt_settlement_flag',</v>
      </c>
      <c r="B146" s="6" t="s">
        <v>266</v>
      </c>
      <c r="C146" s="25" t="s">
        <v>258</v>
      </c>
    </row>
    <row r="147" spans="1:3" hidden="1" x14ac:dyDescent="0.2">
      <c r="B147" s="6" t="s">
        <v>267</v>
      </c>
      <c r="C147" s="20" t="s">
        <v>259</v>
      </c>
    </row>
    <row r="148" spans="1:3" hidden="1" x14ac:dyDescent="0.2">
      <c r="B148" s="6" t="s">
        <v>284</v>
      </c>
      <c r="C148" s="20" t="s">
        <v>260</v>
      </c>
    </row>
    <row r="149" spans="1:3" hidden="1" x14ac:dyDescent="0.2">
      <c r="B149" s="6" t="s">
        <v>261</v>
      </c>
      <c r="C149" s="20" t="s">
        <v>262</v>
      </c>
    </row>
    <row r="150" spans="1:3" hidden="1" x14ac:dyDescent="0.2">
      <c r="B150" s="6" t="s">
        <v>285</v>
      </c>
      <c r="C150" s="20" t="s">
        <v>263</v>
      </c>
    </row>
    <row r="151" spans="1:3" hidden="1" x14ac:dyDescent="0.2">
      <c r="B151" s="6" t="s">
        <v>286</v>
      </c>
      <c r="C151" s="20" t="s">
        <v>264</v>
      </c>
    </row>
    <row r="152" spans="1:3" hidden="1" x14ac:dyDescent="0.2">
      <c r="B152" s="6" t="s">
        <v>287</v>
      </c>
      <c r="C152" s="20" t="s">
        <v>265</v>
      </c>
    </row>
    <row r="154" spans="1:3" ht="16" x14ac:dyDescent="0.2">
      <c r="C154" s="10" t="s">
        <v>155</v>
      </c>
    </row>
    <row r="156" spans="1:3" x14ac:dyDescent="0.2">
      <c r="A156" t="str">
        <f>_xlfn.CONCAT(A146,A145,A116,A115,A114,A97,A94,A90,A89,A88,A87,A86,A43,A37,A28,A26,A25,A24,A23,A21,A19,A18,A8,A7,A6)</f>
        <v>'debt_settlement_flag','disbursement_method','zip_code','verified_status_joint','verification_status','title','sub_grade','pymnt_plan','purpose','pub_rec_bankruptcies','pub_rec','policy_code','loan_amnt','issue_d','home_ownership','funded_amnt_inv','funded_amnt','fico_range_low','fico_range_high','emp_length','dti_joint','dti','application_type','annual_inc_joint','annual_inc',</v>
      </c>
    </row>
  </sheetData>
  <autoFilter ref="B1:C152" xr:uid="{00000000-0009-0000-0000-000000000000}">
    <filterColumn colId="1">
      <colorFilter dxfId="0"/>
    </filterColumn>
  </autoFilter>
  <sortState xmlns:xlrd2="http://schemas.microsoft.com/office/spreadsheetml/2017/richdata2" ref="B2:C101">
    <sortCondition ref="B2:B101"/>
  </sortState>
  <pageMargins left="0.7" right="0.7" top="0.75" bottom="0.75" header="0.3" footer="0.3"/>
  <pageSetup scale="64" orientation="portrait"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LoanStats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Abhinay Kumar</cp:lastModifiedBy>
  <cp:lastPrinted>2013-01-16T21:03:55Z</cp:lastPrinted>
  <dcterms:created xsi:type="dcterms:W3CDTF">2013-01-15T22:13:28Z</dcterms:created>
  <dcterms:modified xsi:type="dcterms:W3CDTF">2021-03-20T08:43:36Z</dcterms:modified>
</cp:coreProperties>
</file>